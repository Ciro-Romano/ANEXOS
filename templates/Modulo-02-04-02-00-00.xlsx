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YYYY-M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1" l="1"/>
  <c r="K11" i="1"/>
  <c r="K12" i="1"/>
  <c r="K13" i="1"/>
  <c r="K14" i="1"/>
  <c r="K15" i="1"/>
  <c r="K16" i="1"/>
  <c r="K17" i="1"/>
  <c r="K18" i="1"/>
  <c r="K19" i="1"/>
  <c r="K20" i="1"/>
  <c r="K21" i="1" l="1"/>
  <c r="J21" i="1" l="1"/>
  <c r="I21" i="1" l="1"/>
</calcChain>
</file>

<file path=xl/sharedStrings.xml><?xml version="1.0" encoding="utf-8"?>
<sst xmlns="http://schemas.openxmlformats.org/spreadsheetml/2006/main" count="16" uniqueCount="16">
  <si>
    <t>Apellido y Nombre</t>
  </si>
  <si>
    <t>Legajo</t>
  </si>
  <si>
    <t>C.U.I.L</t>
  </si>
  <si>
    <t>Fecha de Ingreso</t>
  </si>
  <si>
    <t>Convenio</t>
  </si>
  <si>
    <t>Afiliado</t>
  </si>
  <si>
    <t>Categoria</t>
  </si>
  <si>
    <t>Remuneracion Bruta</t>
  </si>
  <si>
    <t>Total</t>
  </si>
  <si>
    <t>PERIODO</t>
  </si>
  <si>
    <t>C.C.T.</t>
  </si>
  <si>
    <t>C.U.I.T</t>
  </si>
  <si>
    <t>ACTA N°</t>
  </si>
  <si>
    <t>ANEXO RELEVAMIENTO DE DATOS</t>
  </si>
  <si>
    <t>Remuneracion Intranet</t>
  </si>
  <si>
    <t>Deuda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</si>
</sst>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8"/>
      <color theme="1"/>
      <name val="Arial"/>
      <family val="2"/>
    </font>
    <font>
      <b/>
      <sz val="22"/>
      <color theme="1"/>
      <name val="Arial"/>
      <family val="2"/>
    </font>
    <font>
      <b/>
      <i/>
      <sz val="20"/>
      <color theme="1"/>
      <name val="Arial"/>
      <family val="2"/>
    </font>
    <font>
      <b/>
      <i/>
      <sz val="20"/>
      <color rgb="FFFF0000"/>
      <name val="Arial"/>
      <family val="2"/>
    </font>
    <font>
      <sz val="11"/>
      <color rgb="FFFF000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theme="3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3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/>
    <xf numFmtId="14" fontId="1" fillId="0" borderId="0" xfId="0" applyNumberFormat="1" applyFont="1" applyFill="1" applyAlignment="1">
      <alignment horizontal="center" vertical="center" wrapText="1"/>
    </xf>
    <xf numFmtId="4" fontId="1" fillId="0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center" vertical="top" wrapText="1"/>
    </xf>
    <xf numFmtId="0" fontId="7" fillId="2" borderId="3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2" borderId="5" xfId="0" applyFont="1" applyFill="1" applyBorder="1"/>
    <xf numFmtId="0" fontId="8" fillId="3" borderId="4" xfId="0" applyFont="1" applyFill="1" applyBorder="1" applyAlignment="1">
      <alignment horizontal="center" vertical="center" wrapText="1"/>
    </xf>
    <xf numFmtId="4" fontId="8" fillId="0" borderId="0" xfId="0" applyNumberFormat="1" applyFont="1" applyFill="1"/>
    <xf numFmtId="4" fontId="1" fillId="0" borderId="0" xfId="0" applyNumberFormat="1" applyFont="1" applyFill="1" applyAlignment="1">
      <alignment horizontal="right"/>
    </xf>
    <xf numFmtId="0" fontId="1" fillId="4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6600"/>
      <color rgb="FF339933"/>
      <color rgb="FF00800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odulo_00_0000" displayName="Modulo_00_0000" ref="B9:K21" totalsRowCount="1" headerRowDxfId="23" dataDxfId="21" totalsRowDxfId="20" headerRowBorderDxfId="22">
  <autoFilter ref="B9:K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Legajo" totalsRowLabel="Total" dataDxfId="19" totalsRowDxfId="10"/>
    <tableColumn id="2" name="Apellido y Nombre" dataDxfId="18" totalsRowDxfId="9"/>
    <tableColumn id="3" name="C.U.I.L" dataDxfId="17" totalsRowDxfId="8"/>
    <tableColumn id="4" name="Fecha de Ingreso" dataDxfId="16" totalsRowDxfId="7"/>
    <tableColumn id="5" name="Convenio" dataDxfId="15" totalsRowDxfId="6"/>
    <tableColumn id="6" name="Afiliado" dataDxfId="14" totalsRowDxfId="5"/>
    <tableColumn id="7" name="Categoria" dataDxfId="13" totalsRowDxfId="4"/>
    <tableColumn id="8" name="Remuneracion Bruta" totalsRowFunction="count" dataDxfId="12" totalsRowDxfId="3"/>
    <tableColumn id="10" name="Remuneracion Intranet" totalsRowFunction="sum" dataDxfId="11" totalsRowDxfId="2"/>
    <tableColumn id="13" name="Deuda Union" totalsRowFunction="sum" dataDxfId="0" totalsRowDxfId="1">
      <calculatedColumnFormula>IF(Modulo_00_0000[[#This Row],[Remuneracion Bruta]]&gt;Modulo_00_0000[[#This Row],[Remuneracion Intranet]],Modulo_00_0000[[#This Row],[Remuneracion Bruta]]-Modulo_00_0000[[#This Row],[Remuneracion Intranet]],"")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tabSelected="1" topLeftCell="I1" zoomScaleNormal="100" workbookViewId="0">
      <selection activeCell="K5" sqref="K5"/>
    </sheetView>
  </sheetViews>
  <sheetFormatPr baseColWidth="10" defaultColWidth="9.140625" defaultRowHeight="14.25" x14ac:dyDescent="0.2"/>
  <cols>
    <col min="1" max="2" width="9.140625" style="2"/>
    <col min="3" max="3" width="26.7109375" style="1" customWidth="1"/>
    <col min="4" max="4" width="16.7109375" style="2" customWidth="1"/>
    <col min="5" max="5" width="14.7109375" style="2" customWidth="1"/>
    <col min="6" max="6" width="11" style="1" customWidth="1"/>
    <col min="7" max="7" width="10.7109375" style="2" customWidth="1"/>
    <col min="8" max="8" width="24.7109375" style="1" customWidth="1"/>
    <col min="9" max="9" width="18.7109375" style="3" customWidth="1"/>
    <col min="10" max="11" width="18.7109375" style="2" customWidth="1"/>
    <col min="12" max="16384" width="9.140625" style="2"/>
  </cols>
  <sheetData>
    <row r="1" spans="2:11" ht="50.1" customHeight="1" x14ac:dyDescent="0.2">
      <c r="B1" s="16" t="s">
        <v>13</v>
      </c>
      <c r="H1" s="22"/>
      <c r="I1" s="23"/>
    </row>
    <row r="2" spans="2:11" ht="15" customHeight="1" thickBot="1" x14ac:dyDescent="0.25">
      <c r="B2" s="4"/>
      <c r="H2" s="21"/>
    </row>
    <row r="3" spans="2:11" ht="20.100000000000001" customHeight="1" thickTop="1" x14ac:dyDescent="0.2">
      <c r="B3" s="5"/>
      <c r="C3" s="6"/>
      <c r="D3" s="7"/>
      <c r="E3" s="7"/>
      <c r="F3" s="6"/>
      <c r="G3" s="7"/>
      <c r="H3" s="6"/>
      <c r="I3" s="8"/>
      <c r="J3" s="7"/>
      <c r="K3" s="7"/>
    </row>
    <row r="4" spans="2:11" ht="20.100000000000001" customHeight="1" x14ac:dyDescent="0.2">
      <c r="B4" s="20"/>
      <c r="C4" s="18"/>
      <c r="D4" s="18"/>
      <c r="E4" s="17"/>
      <c r="F4" s="17"/>
      <c r="H4" s="37"/>
      <c r="I4" s="37"/>
    </row>
    <row r="5" spans="2:11" ht="20.100000000000001" customHeight="1" x14ac:dyDescent="0.2">
      <c r="B5" s="25" t="s">
        <v>11</v>
      </c>
      <c r="C5" s="26"/>
      <c r="D5" s="27"/>
      <c r="E5" s="27"/>
      <c r="F5" s="28"/>
      <c r="G5" s="27"/>
      <c r="H5" s="25" t="s">
        <v>10</v>
      </c>
      <c r="I5" s="19"/>
    </row>
    <row r="6" spans="2:11" ht="20.100000000000001" customHeight="1" x14ac:dyDescent="0.2">
      <c r="B6" s="24" t="s">
        <v>12</v>
      </c>
      <c r="C6" s="29"/>
      <c r="D6" s="27"/>
      <c r="E6" s="27"/>
      <c r="F6" s="28"/>
      <c r="G6" s="27"/>
      <c r="H6" s="25" t="s">
        <v>9</v>
      </c>
      <c r="I6" s="19"/>
    </row>
    <row r="7" spans="2:11" ht="20.100000000000001" customHeight="1" thickBot="1" x14ac:dyDescent="0.25">
      <c r="B7" s="9"/>
      <c r="H7" s="10"/>
    </row>
    <row r="8" spans="2:11" ht="15" thickTop="1" x14ac:dyDescent="0.2">
      <c r="B8" s="7"/>
      <c r="C8" s="6"/>
      <c r="D8" s="7"/>
      <c r="E8" s="7"/>
      <c r="F8" s="6"/>
      <c r="G8" s="7"/>
      <c r="H8" s="6"/>
      <c r="I8" s="8"/>
      <c r="J8" s="7"/>
      <c r="K8" s="32"/>
    </row>
    <row r="9" spans="2:11" ht="30" customHeight="1" x14ac:dyDescent="0.2">
      <c r="B9" s="30" t="s">
        <v>1</v>
      </c>
      <c r="C9" s="30" t="s">
        <v>0</v>
      </c>
      <c r="D9" s="30" t="s">
        <v>2</v>
      </c>
      <c r="E9" s="31" t="s">
        <v>3</v>
      </c>
      <c r="F9" s="30" t="s">
        <v>4</v>
      </c>
      <c r="G9" s="30" t="s">
        <v>5</v>
      </c>
      <c r="H9" s="30" t="s">
        <v>6</v>
      </c>
      <c r="I9" s="31" t="s">
        <v>7</v>
      </c>
      <c r="J9" s="33" t="s">
        <v>14</v>
      </c>
      <c r="K9" s="36" t="s">
        <v>15</v>
      </c>
    </row>
    <row r="10" spans="2:11" x14ac:dyDescent="0.2">
      <c r="B10" s="13"/>
      <c r="C10" s="11"/>
      <c r="D10" s="11"/>
      <c r="E10" s="14"/>
      <c r="F10" s="11"/>
      <c r="G10" s="13"/>
      <c r="H10" s="11"/>
      <c r="I10" s="15"/>
      <c r="J10" s="34"/>
      <c r="K10" s="35" t="str">
        <f>IF(Modulo_00_0000[[#This Row],[Remuneracion Bruta]]&gt;Modulo_00_0000[[#This Row],[Remuneracion Intranet]],Modulo_00_0000[[#This Row],[Remuneracion Bruta]]-Modulo_00_0000[[#This Row],[Remuneracion Intranet]],"")</f>
        <v/>
      </c>
    </row>
    <row r="11" spans="2:11" x14ac:dyDescent="0.2">
      <c r="B11" s="13"/>
      <c r="C11" s="11"/>
      <c r="D11" s="13"/>
      <c r="E11" s="13"/>
      <c r="F11" s="11"/>
      <c r="G11" s="13"/>
      <c r="H11" s="11"/>
      <c r="I11" s="12"/>
      <c r="J11" s="34"/>
      <c r="K11" s="35" t="str">
        <f>IF(Modulo_00_0000[[#This Row],[Remuneracion Bruta]]&gt;Modulo_00_0000[[#This Row],[Remuneracion Intranet]],Modulo_00_0000[[#This Row],[Remuneracion Bruta]]-Modulo_00_0000[[#This Row],[Remuneracion Intranet]],"")</f>
        <v/>
      </c>
    </row>
    <row r="12" spans="2:11" x14ac:dyDescent="0.2">
      <c r="B12" s="13"/>
      <c r="C12" s="11"/>
      <c r="D12" s="13"/>
      <c r="E12" s="13"/>
      <c r="F12" s="11"/>
      <c r="G12" s="13"/>
      <c r="H12" s="11"/>
      <c r="I12" s="12"/>
      <c r="J12" s="34"/>
      <c r="K12" s="35" t="str">
        <f>IF(Modulo_00_0000[[#This Row],[Remuneracion Bruta]]&gt;Modulo_00_0000[[#This Row],[Remuneracion Intranet]],Modulo_00_0000[[#This Row],[Remuneracion Bruta]]-Modulo_00_0000[[#This Row],[Remuneracion Intranet]],"")</f>
        <v/>
      </c>
    </row>
    <row r="13" spans="2:11" x14ac:dyDescent="0.2">
      <c r="B13" s="13"/>
      <c r="C13" s="11"/>
      <c r="D13" s="13"/>
      <c r="E13" s="13"/>
      <c r="F13" s="11"/>
      <c r="G13" s="13"/>
      <c r="H13" s="11"/>
      <c r="I13" s="12"/>
      <c r="J13" s="34"/>
      <c r="K13" s="35" t="str">
        <f>IF(Modulo_00_0000[[#This Row],[Remuneracion Bruta]]&gt;Modulo_00_0000[[#This Row],[Remuneracion Intranet]],Modulo_00_0000[[#This Row],[Remuneracion Bruta]]-Modulo_00_0000[[#This Row],[Remuneracion Intranet]],"")</f>
        <v/>
      </c>
    </row>
    <row r="14" spans="2:11" x14ac:dyDescent="0.2">
      <c r="B14" s="13"/>
      <c r="C14" s="11"/>
      <c r="D14" s="13"/>
      <c r="E14" s="13"/>
      <c r="F14" s="11"/>
      <c r="G14" s="13"/>
      <c r="H14" s="11"/>
      <c r="I14" s="12"/>
      <c r="J14" s="34"/>
      <c r="K14" s="35" t="str">
        <f>IF(Modulo_00_0000[[#This Row],[Remuneracion Bruta]]&gt;Modulo_00_0000[[#This Row],[Remuneracion Intranet]],Modulo_00_0000[[#This Row],[Remuneracion Bruta]]-Modulo_00_0000[[#This Row],[Remuneracion Intranet]],"")</f>
        <v/>
      </c>
    </row>
    <row r="15" spans="2:11" x14ac:dyDescent="0.2">
      <c r="B15" s="13"/>
      <c r="C15" s="11"/>
      <c r="D15" s="13"/>
      <c r="E15" s="13"/>
      <c r="F15" s="11"/>
      <c r="G15" s="13"/>
      <c r="H15" s="11"/>
      <c r="I15" s="12"/>
      <c r="J15" s="34"/>
      <c r="K15" s="35" t="str">
        <f>IF(Modulo_00_0000[[#This Row],[Remuneracion Bruta]]&gt;Modulo_00_0000[[#This Row],[Remuneracion Intranet]],Modulo_00_0000[[#This Row],[Remuneracion Bruta]]-Modulo_00_0000[[#This Row],[Remuneracion Intranet]],"")</f>
        <v/>
      </c>
    </row>
    <row r="16" spans="2:11" x14ac:dyDescent="0.2">
      <c r="B16" s="13"/>
      <c r="C16" s="11"/>
      <c r="D16" s="13"/>
      <c r="E16" s="13"/>
      <c r="F16" s="11"/>
      <c r="G16" s="13"/>
      <c r="H16" s="11"/>
      <c r="I16" s="12"/>
      <c r="J16" s="34"/>
      <c r="K16" s="35" t="str">
        <f>IF(Modulo_00_0000[[#This Row],[Remuneracion Bruta]]&gt;Modulo_00_0000[[#This Row],[Remuneracion Intranet]],Modulo_00_0000[[#This Row],[Remuneracion Bruta]]-Modulo_00_0000[[#This Row],[Remuneracion Intranet]],"")</f>
        <v/>
      </c>
    </row>
    <row r="17" spans="2:11" x14ac:dyDescent="0.2">
      <c r="B17" s="13"/>
      <c r="C17" s="11"/>
      <c r="D17" s="13"/>
      <c r="E17" s="13"/>
      <c r="F17" s="11"/>
      <c r="G17" s="13"/>
      <c r="H17" s="11"/>
      <c r="I17" s="12"/>
      <c r="J17" s="34"/>
      <c r="K17" s="35" t="str">
        <f>IF(Modulo_00_0000[[#This Row],[Remuneracion Bruta]]&gt;Modulo_00_0000[[#This Row],[Remuneracion Intranet]],Modulo_00_0000[[#This Row],[Remuneracion Bruta]]-Modulo_00_0000[[#This Row],[Remuneracion Intranet]],"")</f>
        <v/>
      </c>
    </row>
    <row r="18" spans="2:11" x14ac:dyDescent="0.2">
      <c r="B18" s="13"/>
      <c r="C18" s="11"/>
      <c r="D18" s="13"/>
      <c r="E18" s="13"/>
      <c r="F18" s="11"/>
      <c r="G18" s="13"/>
      <c r="H18" s="11"/>
      <c r="I18" s="12"/>
      <c r="J18" s="34"/>
      <c r="K18" s="35" t="str">
        <f>IF(Modulo_00_0000[[#This Row],[Remuneracion Bruta]]&gt;Modulo_00_0000[[#This Row],[Remuneracion Intranet]],Modulo_00_0000[[#This Row],[Remuneracion Bruta]]-Modulo_00_0000[[#This Row],[Remuneracion Intranet]],"")</f>
        <v/>
      </c>
    </row>
    <row r="19" spans="2:11" x14ac:dyDescent="0.2">
      <c r="B19" s="13"/>
      <c r="C19" s="11"/>
      <c r="D19" s="13"/>
      <c r="E19" s="13"/>
      <c r="F19" s="11"/>
      <c r="G19" s="13"/>
      <c r="H19" s="11"/>
      <c r="I19" s="12"/>
      <c r="J19" s="34"/>
      <c r="K19" s="35" t="str">
        <f>IF(Modulo_00_0000[[#This Row],[Remuneracion Bruta]]&gt;Modulo_00_0000[[#This Row],[Remuneracion Intranet]],Modulo_00_0000[[#This Row],[Remuneracion Bruta]]-Modulo_00_0000[[#This Row],[Remuneracion Intranet]],"")</f>
        <v/>
      </c>
    </row>
    <row r="20" spans="2:11" x14ac:dyDescent="0.2">
      <c r="B20" s="13"/>
      <c r="C20" s="11"/>
      <c r="D20" s="13"/>
      <c r="E20" s="13"/>
      <c r="F20" s="11"/>
      <c r="G20" s="13"/>
      <c r="H20" s="11"/>
      <c r="I20" s="12"/>
      <c r="J20" s="34"/>
      <c r="K20" s="35" t="str">
        <f>IF(Modulo_00_0000[[#This Row],[Remuneracion Bruta]]&gt;Modulo_00_0000[[#This Row],[Remuneracion Intranet]],Modulo_00_0000[[#This Row],[Remuneracion Bruta]]-Modulo_00_0000[[#This Row],[Remuneracion Intranet]],"")</f>
        <v/>
      </c>
    </row>
    <row r="21" spans="2:11" ht="15" customHeight="1" x14ac:dyDescent="0.2">
      <c r="B21" s="13" t="s">
        <v>8</v>
      </c>
      <c r="C21" s="11"/>
      <c r="D21" s="13"/>
      <c r="E21" s="13"/>
      <c r="F21" s="11"/>
      <c r="G21" s="13"/>
      <c r="H21" s="11"/>
      <c r="I21" s="15">
        <f>SUBTOTAL(103,Modulo_00_0000[Remuneracion Bruta])</f>
        <v>0</v>
      </c>
      <c r="J21" s="15">
        <f>SUBTOTAL(109,Modulo_00_0000[Remuneracion Intranet])</f>
        <v>0</v>
      </c>
      <c r="K21" s="15">
        <f>SUBTOTAL(109,Modulo_00_0000[Deuda Union])</f>
        <v>0</v>
      </c>
    </row>
  </sheetData>
  <mergeCells count="1">
    <mergeCell ref="H4:I4"/>
  </mergeCells>
  <pageMargins left="0.7" right="0.7" top="0.75" bottom="0.75" header="0.3" footer="0.3"/>
  <pageSetup paperSize="9" orientation="portrait" verticalDpi="598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YYYY-MM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2026-05-29T14:46:15Z</dcterms:modified>
</cp:coreProperties>
</file>